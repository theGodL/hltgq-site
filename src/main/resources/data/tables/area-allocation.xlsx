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1==work\0==python\3_work\花凉亭灌区水资源模型\V3版本\5==》灌溉决策模型\"/>
    </mc:Choice>
  </mc:AlternateContent>
  <xr:revisionPtr revIDLastSave="0" documentId="13_ncr:1_{26B1D71D-AAF3-458D-8D83-7C0266A525A6}" xr6:coauthVersionLast="47" xr6:coauthVersionMax="47" xr10:uidLastSave="{00000000-0000-0000-0000-000000000000}"/>
  <bookViews>
    <workbookView xWindow="9220" yWindow="1040" windowWidth="15790" windowHeight="13940" activeTab="1" xr2:uid="{00000000-000D-0000-FFFF-FFFF00000000}"/>
  </bookViews>
  <sheets>
    <sheet name="片区面积" sheetId="2" r:id="rId1"/>
    <sheet name="行政区面积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/>
  <c r="D5" i="3"/>
  <c r="D4" i="3"/>
  <c r="D3" i="3"/>
  <c r="D2" i="3"/>
  <c r="D6" i="3" s="1"/>
</calcChain>
</file>

<file path=xl/sharedStrings.xml><?xml version="1.0" encoding="utf-8"?>
<sst xmlns="http://schemas.openxmlformats.org/spreadsheetml/2006/main" count="17" uniqueCount="15">
  <si>
    <t>片区</t>
    <phoneticPr fontId="2" type="noConversion"/>
  </si>
  <si>
    <t>总干渠</t>
  </si>
  <si>
    <t>太湖县</t>
    <phoneticPr fontId="2" type="noConversion"/>
  </si>
  <si>
    <t>太怀干渠</t>
    <phoneticPr fontId="2" type="noConversion"/>
  </si>
  <si>
    <t>太宿干渠</t>
    <phoneticPr fontId="2" type="noConversion"/>
  </si>
  <si>
    <t>北干渠</t>
  </si>
  <si>
    <t>南干渠</t>
  </si>
  <si>
    <t>全灌区</t>
    <phoneticPr fontId="2" type="noConversion"/>
  </si>
  <si>
    <t>面积</t>
    <phoneticPr fontId="2" type="noConversion"/>
  </si>
  <si>
    <t>自流</t>
    <phoneticPr fontId="2" type="noConversion"/>
  </si>
  <si>
    <t>提灌</t>
    <phoneticPr fontId="2" type="noConversion"/>
  </si>
  <si>
    <t>总计</t>
    <phoneticPr fontId="2" type="noConversion"/>
  </si>
  <si>
    <t>望江县</t>
  </si>
  <si>
    <t>宿松县</t>
  </si>
  <si>
    <t>怀宁县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</si>
</sst>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683B-279C-44B2-90FD-0293D2014FE1}">
  <dimension ref="A1:B7"/>
  <sheetViews>
    <sheetView workbookViewId="0"/>
  </sheetViews>
  <sheetFormatPr defaultRowHeight="14" x14ac:dyDescent="0.3"/>
  <cols>
    <col min="1" max="1" width="14.4140625" customWidth="1"/>
    <col min="2" max="2" width="10.75" customWidth="1"/>
  </cols>
  <sheetData>
    <row r="1" spans="1:2" x14ac:dyDescent="0.3">
      <c r="A1" s="1" t="s">
        <v>0</v>
      </c>
      <c r="B1" s="1" t="s">
        <v>8</v>
      </c>
    </row>
    <row r="2" spans="1:2" x14ac:dyDescent="0.3">
      <c r="A2" s="1" t="s">
        <v>1</v>
      </c>
      <c r="B2" s="3">
        <v>13.485100000000001</v>
      </c>
    </row>
    <row r="3" spans="1:2" x14ac:dyDescent="0.3">
      <c r="A3" s="1" t="s">
        <v>3</v>
      </c>
      <c r="B3" s="3">
        <v>12.876200000000003</v>
      </c>
    </row>
    <row r="4" spans="1:2" x14ac:dyDescent="0.3">
      <c r="A4" s="1" t="s">
        <v>4</v>
      </c>
      <c r="B4" s="3">
        <v>35.990900000000003</v>
      </c>
    </row>
    <row r="5" spans="1:2" x14ac:dyDescent="0.3">
      <c r="A5" s="1" t="s">
        <v>5</v>
      </c>
      <c r="B5" s="3">
        <v>21.227700000000002</v>
      </c>
    </row>
    <row r="6" spans="1:2" x14ac:dyDescent="0.3">
      <c r="A6" s="1" t="s">
        <v>6</v>
      </c>
      <c r="B6" s="3">
        <v>22.251999999999999</v>
      </c>
    </row>
    <row r="7" spans="1:2" x14ac:dyDescent="0.3">
      <c r="A7" s="1" t="s">
        <v>7</v>
      </c>
      <c r="B7" s="4">
        <v>105.8319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4CC9-25EF-4777-9074-F264033C22EA}">
  <dimension ref="A1:D6"/>
  <sheetViews>
    <sheetView tabSelected="1" workbookViewId="0">
      <selection activeCell="F12" sqref="F12"/>
    </sheetView>
  </sheetViews>
  <sheetFormatPr defaultRowHeight="14" x14ac:dyDescent="0.3"/>
  <sheetData>
    <row r="1" spans="1:4" x14ac:dyDescent="0.3">
      <c r="A1" s="1" t="s">
        <v>0</v>
      </c>
      <c r="B1" s="5" t="s">
        <v>9</v>
      </c>
      <c r="C1" s="5" t="s">
        <v>10</v>
      </c>
      <c r="D1" s="5" t="s">
        <v>11</v>
      </c>
    </row>
    <row r="2" spans="1:4" x14ac:dyDescent="0.3">
      <c r="A2" s="2" t="s">
        <v>2</v>
      </c>
      <c r="B2" s="6">
        <v>16.45</v>
      </c>
      <c r="C2" s="6">
        <v>0.88</v>
      </c>
      <c r="D2" s="6">
        <f>B2+C2</f>
        <v>17.329999999999998</v>
      </c>
    </row>
    <row r="3" spans="1:4" x14ac:dyDescent="0.3">
      <c r="A3" s="2" t="s">
        <v>12</v>
      </c>
      <c r="B3" s="6">
        <v>37.209000000000003</v>
      </c>
      <c r="C3" s="6">
        <v>1.4004000000000001</v>
      </c>
      <c r="D3" s="6">
        <f>B3+C3</f>
        <v>38.609400000000001</v>
      </c>
    </row>
    <row r="4" spans="1:4" x14ac:dyDescent="0.3">
      <c r="A4" s="2" t="s">
        <v>13</v>
      </c>
      <c r="B4" s="6">
        <v>19.920000000000002</v>
      </c>
      <c r="C4" s="6">
        <v>17.079999999999998</v>
      </c>
      <c r="D4" s="6">
        <f>B4+C4</f>
        <v>37</v>
      </c>
    </row>
    <row r="5" spans="1:4" x14ac:dyDescent="0.3">
      <c r="A5" s="2" t="s">
        <v>14</v>
      </c>
      <c r="B5" s="6">
        <v>10.7195</v>
      </c>
      <c r="C5" s="6">
        <v>2.173</v>
      </c>
      <c r="D5" s="6">
        <f>B5+C5</f>
        <v>12.8925</v>
      </c>
    </row>
    <row r="6" spans="1:4" x14ac:dyDescent="0.3">
      <c r="A6" s="2" t="s">
        <v>7</v>
      </c>
      <c r="B6" s="6">
        <f>SUM(B2:B5)</f>
        <v>84.298500000000004</v>
      </c>
      <c r="C6" s="6">
        <f>SUM(C2:C5)</f>
        <v>21.5334</v>
      </c>
      <c r="D6" s="6">
        <f>SUM(D2:D5)</f>
        <v>105.8319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片区面积</vt:lpstr>
      <vt:lpstr>行政区面积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冯晓乐</dc:creator>
  <cp:lastModifiedBy>晓乐 冯</cp:lastModifiedBy>
  <dcterms:created xsi:type="dcterms:W3CDTF">2015-06-05T18:19:34Z</dcterms:created>
  <dcterms:modified xsi:type="dcterms:W3CDTF">2026-10-20T07:13:06Z</dcterms:modified>
</cp:coreProperties>
</file>